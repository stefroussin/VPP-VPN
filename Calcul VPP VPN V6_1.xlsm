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ussins\Desktop\COVID\"/>
    </mc:Choice>
  </mc:AlternateContent>
  <bookViews>
    <workbookView xWindow="0" yWindow="0" windowWidth="15492" windowHeight="5316" firstSheet="1" activeTab="2"/>
  </bookViews>
  <sheets>
    <sheet name="Feuil1" sheetId="1" state="veryHidden" r:id="rId1"/>
    <sheet name="Initial" sheetId="2" r:id="rId2"/>
    <sheet name="Utilisation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  <c r="F12" i="1" l="1"/>
  <c r="E15" i="1" s="1"/>
  <c r="B12" i="1"/>
  <c r="A15" i="1" s="1"/>
  <c r="C15" i="1" l="1"/>
  <c r="G15" i="1"/>
  <c r="E19" i="1" s="1"/>
</calcChain>
</file>

<file path=xl/sharedStrings.xml><?xml version="1.0" encoding="utf-8"?>
<sst xmlns="http://schemas.openxmlformats.org/spreadsheetml/2006/main" count="23" uniqueCount="23">
  <si>
    <t>Pré-valence</t>
  </si>
  <si>
    <t>Spécificité</t>
  </si>
  <si>
    <t>Sensibilité</t>
  </si>
  <si>
    <t>Probabilité</t>
  </si>
  <si>
    <t>Fx POS</t>
  </si>
  <si>
    <t>Vrai Pos</t>
  </si>
  <si>
    <t>FX neg</t>
  </si>
  <si>
    <t>vrai neg</t>
  </si>
  <si>
    <t>Spécificité %</t>
  </si>
  <si>
    <t>Sensibilité %</t>
  </si>
  <si>
    <t>Population</t>
  </si>
  <si>
    <t>Prévalence</t>
  </si>
  <si>
    <t>Valeurs dans formulaire au démarrage.</t>
  </si>
  <si>
    <t>On retrouve les valeurs de Spécificité et de Sensibilité de la trousse A-SARS COV2</t>
  </si>
  <si>
    <t>Les calculs se font dès modification de l'un de ces champs</t>
  </si>
  <si>
    <t>Pour fermer le formulaire et Excel : cliquer sur Quitter</t>
  </si>
  <si>
    <t>Les valeurs à l'ouverture sont celles enregistrés sur l'onglet Initial.</t>
  </si>
  <si>
    <t>Pour calculer d'autre VPP et VPN, modifier les valeurs :</t>
  </si>
  <si>
    <t>Pour fermer le formulaire : cliquer sur Annuler</t>
  </si>
  <si>
    <t>- Nb Individus (valeur max = 9 999 999 999)</t>
  </si>
  <si>
    <t>- Prévalence (max 100%)</t>
  </si>
  <si>
    <t>- Spécificité (max 100%)</t>
  </si>
  <si>
    <t>- Sensibilité (max 100%)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</si>
</sst>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13">
    <xf numFmtId="0" fontId="0" fillId="0" borderId="0" xfId="0"/>
    <xf numFmtId="10" fontId="0" fillId="0" borderId="0" xfId="0" applyNumberFormat="1"/>
    <xf numFmtId="0" fontId="0" fillId="0" borderId="0" xfId="0" applyAlignment="1">
      <alignment horizontal="center"/>
    </xf>
    <xf numFmtId="0" fontId="2" fillId="3" borderId="0" xfId="2" applyAlignment="1">
      <alignment horizontal="center"/>
    </xf>
    <xf numFmtId="0" fontId="1" fillId="2" borderId="0" xfId="1" applyAlignment="1">
      <alignment horizontal="center"/>
    </xf>
    <xf numFmtId="9" fontId="0" fillId="0" borderId="0" xfId="0" applyNumberFormat="1"/>
    <xf numFmtId="0" fontId="3" fillId="0" borderId="1" xfId="0" applyFont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5" borderId="0" xfId="0" applyFill="1"/>
    <xf numFmtId="0" fontId="0" fillId="0" borderId="0" xfId="0" quotePrefix="1"/>
    <xf numFmtId="0" fontId="4" fillId="4" borderId="1" xfId="0" applyFont="1" applyFill="1" applyBorder="1" applyAlignment="1">
      <alignment horizontal="center"/>
    </xf>
  </cellXfs>
  <cellStyles count="3">
    <cellStyle name="Insatisfaisant" xfId="2" builtinId="27"/>
    <cellStyle name="Normal" xfId="0" builtinId="0"/>
    <cellStyle name="Satisfaisant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396240</xdr:colOff>
      <xdr:row>1</xdr:row>
      <xdr:rowOff>45720</xdr:rowOff>
    </xdr:from>
    <xdr:to>
      <xdr:col>10</xdr:col>
      <xdr:colOff>647700</xdr:colOff>
      <xdr:row>8</xdr:row>
      <xdr:rowOff>30480</xdr:rowOff>
    </xdr:to>
    <xdr:sp macro="[0]!macro_covid" textlink="">
      <xdr:nvSpPr>
        <xdr:cNvPr id="2" name="Rectangle à coins arrondis 1"/>
        <xdr:cNvSpPr/>
      </xdr:nvSpPr>
      <xdr:spPr>
        <a:xfrm>
          <a:off x="5943600" y="228600"/>
          <a:ext cx="2628900" cy="126492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5400"/>
            <a:t>COVID</a:t>
          </a:r>
        </a:p>
      </xdr:txBody>
    </xdr:sp>
    <xdr:clientData/>
  </xdr:twoCellAnchor>
  <xdr:twoCellAnchor>
    <xdr:from>
      <xdr:col>9</xdr:col>
      <xdr:colOff>198120</xdr:colOff>
      <xdr:row>17</xdr:row>
      <xdr:rowOff>22860</xdr:rowOff>
    </xdr:from>
    <xdr:to>
      <xdr:col>13</xdr:col>
      <xdr:colOff>419100</xdr:colOff>
      <xdr:row>18</xdr:row>
      <xdr:rowOff>175260</xdr:rowOff>
    </xdr:to>
    <xdr:cxnSp macro="">
      <xdr:nvCxnSpPr>
        <xdr:cNvPr id="4" name="Connecteur droit avec flèche 3"/>
        <xdr:cNvCxnSpPr/>
      </xdr:nvCxnSpPr>
      <xdr:spPr>
        <a:xfrm flipV="1">
          <a:off x="7330440" y="3131820"/>
          <a:ext cx="3390900" cy="3352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630620</xdr:colOff>
      <xdr:row>0</xdr:row>
      <xdr:rowOff>157655</xdr:rowOff>
    </xdr:from>
    <xdr:to>
      <xdr:col>3</xdr:col>
      <xdr:colOff>641131</xdr:colOff>
      <xdr:row>2</xdr:row>
      <xdr:rowOff>115614</xdr:rowOff>
    </xdr:to>
    <xdr:sp macro="[0]!macro_vppvpn" textlink="">
      <xdr:nvSpPr>
        <xdr:cNvPr id="2" name="Rectangle à coins arrondis 1"/>
        <xdr:cNvSpPr/>
      </xdr:nvSpPr>
      <xdr:spPr>
        <a:xfrm>
          <a:off x="3909848" y="157655"/>
          <a:ext cx="804042" cy="4099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160020</xdr:colOff>
      <xdr:row>12</xdr:row>
      <xdr:rowOff>91440</xdr:rowOff>
    </xdr:from>
    <xdr:to>
      <xdr:col>16</xdr:col>
      <xdr:colOff>358140</xdr:colOff>
      <xdr:row>29</xdr:row>
      <xdr:rowOff>34060</xdr:rowOff>
    </xdr:to>
    <xdr:pic>
      <xdr:nvPicPr>
        <xdr:cNvPr id="2" name="Imag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43060" y="2286000"/>
          <a:ext cx="3368040" cy="3051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4:G19"/>
  <sheetViews>
    <sheetView workbookViewId="0">
      <selection activeCell="G11" sqref="G11"/>
    </sheetView>
  </sheetViews>
  <sheetFormatPr baseColWidth="10" defaultRowHeight="14.4" x14ac:dyDescent="0.3"/>
  <sheetData>
    <row r="4" spans="1:7" x14ac:dyDescent="0.3">
      <c r="A4" t="s">
        <v>0</v>
      </c>
      <c r="B4" s="5">
        <v>0.01</v>
      </c>
    </row>
    <row r="6" spans="1:7" x14ac:dyDescent="0.3">
      <c r="A6" t="s">
        <v>1</v>
      </c>
      <c r="B6" s="1">
        <v>0.99809999999999999</v>
      </c>
    </row>
    <row r="7" spans="1:7" x14ac:dyDescent="0.3">
      <c r="A7" t="s">
        <v>2</v>
      </c>
      <c r="B7" s="1">
        <v>1</v>
      </c>
    </row>
    <row r="10" spans="1:7" s="2" customFormat="1" x14ac:dyDescent="0.3">
      <c r="D10" s="2">
        <v>100000</v>
      </c>
    </row>
    <row r="11" spans="1:7" s="2" customFormat="1" x14ac:dyDescent="0.3"/>
    <row r="12" spans="1:7" s="2" customFormat="1" x14ac:dyDescent="0.3">
      <c r="B12" s="3">
        <f>D10*B4</f>
        <v>1000</v>
      </c>
      <c r="F12" s="4">
        <f>D10*(1-B4)</f>
        <v>99000</v>
      </c>
    </row>
    <row r="14" spans="1:7" x14ac:dyDescent="0.3">
      <c r="A14" t="s">
        <v>6</v>
      </c>
      <c r="C14" t="s">
        <v>5</v>
      </c>
      <c r="E14" t="s">
        <v>4</v>
      </c>
      <c r="G14" t="s">
        <v>7</v>
      </c>
    </row>
    <row r="15" spans="1:7" s="2" customFormat="1" x14ac:dyDescent="0.3">
      <c r="A15" s="2">
        <f>B12*(1-B7)</f>
        <v>0</v>
      </c>
      <c r="C15" s="2">
        <f>B12*B7</f>
        <v>1000</v>
      </c>
      <c r="E15" s="2">
        <f>F12*(1-B6)</f>
        <v>188.10000000000127</v>
      </c>
      <c r="G15" s="2">
        <f>F12*B6</f>
        <v>98811.9</v>
      </c>
    </row>
    <row r="19" spans="1:5" x14ac:dyDescent="0.3">
      <c r="A19" t="s">
        <v>3</v>
      </c>
      <c r="B19" t="str">
        <f>"VPP= " &amp; ROUNDUP(C15/(C15+E15)*100,1)&amp;" %"</f>
        <v>VPP= 84,2 %</v>
      </c>
      <c r="E19" t="str">
        <f>"VPP= " &amp; ROUNDUP(100-(A15/G15*100),1)&amp;" %"</f>
        <v>VPP= 100 %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7"/>
  <sheetViews>
    <sheetView zoomScale="130" zoomScaleNormal="130" workbookViewId="0">
      <selection activeCell="B2" sqref="B2"/>
    </sheetView>
  </sheetViews>
  <sheetFormatPr baseColWidth="10" defaultRowHeight="14.4" x14ac:dyDescent="0.3"/>
  <cols>
    <col min="1" max="2" width="23.88671875" style="2" customWidth="1"/>
  </cols>
  <sheetData>
    <row r="1" spans="1:4" ht="21" x14ac:dyDescent="0.4">
      <c r="A1" s="12" t="s">
        <v>12</v>
      </c>
      <c r="B1" s="12"/>
    </row>
    <row r="2" spans="1:4" x14ac:dyDescent="0.3">
      <c r="A2" s="6" t="s">
        <v>8</v>
      </c>
      <c r="B2" s="7">
        <v>99.81</v>
      </c>
    </row>
    <row r="3" spans="1:4" x14ac:dyDescent="0.3">
      <c r="A3" s="6" t="s">
        <v>9</v>
      </c>
      <c r="B3" s="7">
        <v>100</v>
      </c>
    </row>
    <row r="4" spans="1:4" x14ac:dyDescent="0.3">
      <c r="A4" s="6" t="s">
        <v>10</v>
      </c>
      <c r="B4" s="7">
        <v>100000</v>
      </c>
    </row>
    <row r="5" spans="1:4" x14ac:dyDescent="0.3">
      <c r="A5" s="6" t="s">
        <v>11</v>
      </c>
      <c r="B5" s="7">
        <v>5</v>
      </c>
    </row>
    <row r="7" spans="1:4" x14ac:dyDescent="0.3">
      <c r="A7" s="8" t="s">
        <v>13</v>
      </c>
      <c r="B7" s="9"/>
      <c r="C7" s="10"/>
      <c r="D7" s="10"/>
    </row>
  </sheetData>
  <sheetProtection sheet="1" objects="1" scenarios="1" selectLockedCells="1"/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M1:N12"/>
  <sheetViews>
    <sheetView showGridLines="0" tabSelected="1" workbookViewId="0"/>
  </sheetViews>
  <sheetFormatPr baseColWidth="10" defaultRowHeight="14.4" x14ac:dyDescent="0.3"/>
  <cols>
    <col min="2" max="2" width="5.33203125" customWidth="1"/>
  </cols>
  <sheetData>
    <row r="1" spans="13:14" x14ac:dyDescent="0.3">
      <c r="M1" t="s">
        <v>16</v>
      </c>
    </row>
    <row r="3" spans="13:14" x14ac:dyDescent="0.3">
      <c r="M3" t="s">
        <v>17</v>
      </c>
    </row>
    <row r="4" spans="13:14" x14ac:dyDescent="0.3">
      <c r="N4" s="11" t="s">
        <v>19</v>
      </c>
    </row>
    <row r="5" spans="13:14" x14ac:dyDescent="0.3">
      <c r="N5" s="11" t="s">
        <v>20</v>
      </c>
    </row>
    <row r="6" spans="13:14" x14ac:dyDescent="0.3">
      <c r="N6" s="11" t="s">
        <v>21</v>
      </c>
    </row>
    <row r="7" spans="13:14" x14ac:dyDescent="0.3">
      <c r="N7" s="11" t="s">
        <v>22</v>
      </c>
    </row>
    <row r="9" spans="13:14" x14ac:dyDescent="0.3">
      <c r="M9" t="s">
        <v>14</v>
      </c>
    </row>
    <row r="11" spans="13:14" x14ac:dyDescent="0.3">
      <c r="M11" t="s">
        <v>15</v>
      </c>
    </row>
    <row r="12" spans="13:14" x14ac:dyDescent="0.3">
      <c r="M12" t="s">
        <v>18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Initial</vt:lpstr>
      <vt:lpstr>Utilisation</vt:lpstr>
    </vt:vector>
  </TitlesOfParts>
  <Company>F. Hoffmann-La Roche,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Roussin, Stephane {DEFC~Meylan}</dc:creator>
  <cp:lastModifiedBy>Roussin, Stephane {DEFC~Meylan}</cp:lastModifiedBy>
  <dcterms:created xsi:type="dcterms:W3CDTF">2020-06-04T10:13:48Z</dcterms:created>
  <dcterms:modified xsi:type="dcterms:W3CDTF">2020-06-16T17:05:43Z</dcterms:modified>
</cp:coreProperties>
</file>